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governoit-my.sharepoint.com/personal/u_fabiani_governo_it/Documents/Desktop/mio/sito/crediti-contributi-pipeline/esempio/"/>
    </mc:Choice>
  </mc:AlternateContent>
  <xr:revisionPtr revIDLastSave="22" documentId="13_ncr:1_{CFB811B0-9C0C-40D0-8171-BDB16782A67E}" xr6:coauthVersionLast="47" xr6:coauthVersionMax="47" xr10:uidLastSave="{2798BF69-4765-41EA-8B92-C77E9554E30D}"/>
  <bookViews>
    <workbookView xWindow="-120" yWindow="-120" windowWidth="29040" windowHeight="15720" xr2:uid="{0CAE5F05-E4B7-4DE5-8515-6603C94F1651}"/>
  </bookViews>
  <sheets>
    <sheet name="Anno2023" sheetId="6" r:id="rId1"/>
  </sheets>
  <definedNames>
    <definedName name="_xlnm._FilterDatabase" localSheetId="0" hidden="1">Anno2023!$A$1:$F$4</definedName>
    <definedName name="aa">OFFSET(INDIRECT("Unione_Concesso_e_Fruito"),_xlfn.XMATCH(#REF!&amp;"*",INDIRECT("Unione_Concesso_e_Fruito[Codice fiscale beneficiario]"),2)-1,,COUNTIF(INDIRECT("Unione_Concesso_e_Fruito[Codice fiscale beneficiario]"),#REF!&amp;"*"))</definedName>
    <definedName name="_xlnm.Print_Area" localSheetId="0">Anno2023!$A$1:$F$4</definedName>
    <definedName name="CelleContiguePiene">#REF!</definedName>
    <definedName name="RicercaCF">OFFSET(INDIRECT("Unione_Concesso_e_Fruito"),_xlfn.XMATCH(#REF!&amp;"*",INDIRECT("Unione_Concesso_e_Fruito[Codice fiscale beneficiario]"),2)-1,,COUNTIF(INDIRECT("Unione_Concesso_e_Fruito[Codice fiscale beneficiario]"),#REF!&amp;"*"))</definedName>
    <definedName name="_xlnm.Print_Titles" localSheetId="0">Anno2023!$A:$A,Anno2023!$1:$1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6" l="1"/>
  <c r="G4" i="6"/>
  <c r="H4" i="6" s="1"/>
  <c r="G3" i="6"/>
  <c r="H3" i="6" s="1"/>
  <c r="G2" i="6"/>
  <c r="G5" i="6" l="1"/>
  <c r="H2" i="6"/>
  <c r="H5" i="6" l="1"/>
</calcChain>
</file>

<file path=xl/sharedStrings.xml><?xml version="1.0" encoding="utf-8"?>
<sst xmlns="http://schemas.openxmlformats.org/spreadsheetml/2006/main" count="22" uniqueCount="20">
  <si>
    <t>CODICE FISCALE</t>
  </si>
  <si>
    <t>DENOMINAZIONE</t>
  </si>
  <si>
    <t>COR</t>
  </si>
  <si>
    <t>TOTALI</t>
  </si>
  <si>
    <t>N</t>
  </si>
  <si>
    <t>ID PRATICA</t>
  </si>
  <si>
    <t>IMPORTO CONCESSO</t>
  </si>
  <si>
    <t>IRES 4%</t>
  </si>
  <si>
    <t>IMPORTO NETTO CONCESSO</t>
  </si>
  <si>
    <t>ANNO</t>
  </si>
  <si>
    <t>2023</t>
  </si>
  <si>
    <t>123</t>
  </si>
  <si>
    <t>456</t>
  </si>
  <si>
    <t>789</t>
  </si>
  <si>
    <t>00000000001</t>
  </si>
  <si>
    <t>00000000002</t>
  </si>
  <si>
    <t>00000000003</t>
  </si>
  <si>
    <t>IMPRESA DI ESEMPIO SPA</t>
  </si>
  <si>
    <t>IMPRESA DI ESEMPIO NUMERO 2 SRL</t>
  </si>
  <si>
    <t>TERZA IMPRESA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</si>
</sst>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0"/>
      <color indexed="8"/>
      <name val="Aptos Narrow"/>
      <family val="2"/>
      <scheme val="minor"/>
    </font>
    <font>
      <sz val="10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9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0" borderId="1" xfId="1" applyFont="1" applyBorder="1" applyAlignment="1">
      <alignment horizontal="center" vertical="center"/>
    </xf>
    <xf numFmtId="49" fontId="3" fillId="0" borderId="1" xfId="1" applyNumberFormat="1" applyFont="1" applyBorder="1" applyAlignment="1">
      <alignment horizontal="center" vertical="center"/>
    </xf>
    <xf numFmtId="49" fontId="3" fillId="0" borderId="1" xfId="1" applyNumberFormat="1" applyFont="1" applyBorder="1" applyAlignment="1">
      <alignment vertical="center"/>
    </xf>
    <xf numFmtId="4" fontId="3" fillId="0" borderId="1" xfId="1" applyNumberFormat="1" applyFont="1" applyBorder="1" applyAlignment="1">
      <alignment horizontal="center" vertical="center"/>
    </xf>
    <xf numFmtId="1" fontId="3" fillId="0" borderId="1" xfId="1" applyNumberFormat="1" applyFont="1" applyBorder="1" applyAlignment="1">
      <alignment horizontal="center" vertical="center"/>
    </xf>
    <xf numFmtId="0" fontId="1" fillId="0" borderId="0" xfId="1"/>
    <xf numFmtId="4" fontId="1" fillId="0" borderId="0" xfId="1" applyNumberFormat="1"/>
    <xf numFmtId="4" fontId="2" fillId="0" borderId="1" xfId="1" applyNumberFormat="1" applyFont="1" applyBorder="1" applyAlignment="1">
      <alignment horizontal="center" vertical="center"/>
    </xf>
    <xf numFmtId="1" fontId="2" fillId="0" borderId="1" xfId="1" applyNumberFormat="1" applyFont="1" applyBorder="1" applyAlignment="1">
      <alignment horizontal="center" vertical="center"/>
    </xf>
    <xf numFmtId="0" fontId="4" fillId="0" borderId="0" xfId="1" applyFont="1"/>
    <xf numFmtId="0" fontId="5" fillId="0" borderId="0" xfId="1" applyFont="1" applyAlignment="1">
      <alignment horizontal="center" vertical="center"/>
    </xf>
    <xf numFmtId="0" fontId="5" fillId="0" borderId="0" xfId="1" applyFont="1" applyAlignment="1">
      <alignment vertical="center"/>
    </xf>
    <xf numFmtId="1" fontId="5" fillId="0" borderId="0" xfId="1" applyNumberFormat="1" applyFont="1" applyAlignment="1">
      <alignment horizontal="center" vertical="center"/>
    </xf>
    <xf numFmtId="0" fontId="2" fillId="0" borderId="1" xfId="1" applyFont="1" applyBorder="1" applyAlignment="1">
      <alignment vertical="center"/>
    </xf>
  </cellXfs>
  <cellStyles count="2">
    <cellStyle name="Normale" xfId="0" builtinId="0"/>
    <cellStyle name="Normale 2" xfId="1" xr:uid="{DDA24941-A7E7-438D-B379-3517C1A9C2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69C10-97FD-4FDB-8299-D92A8F4222AC}">
  <sheetPr>
    <pageSetUpPr fitToPage="1"/>
  </sheetPr>
  <dimension ref="A1:P5"/>
  <sheetViews>
    <sheetView tabSelected="1" zoomScale="89" zoomScaleNormal="89" workbookViewId="0">
      <selection activeCell="J2" sqref="J2:J4"/>
    </sheetView>
  </sheetViews>
  <sheetFormatPr defaultColWidth="8.85546875" defaultRowHeight="15" x14ac:dyDescent="0.25"/>
  <cols>
    <col min="1" max="1" width="11.85546875" style="13" customWidth="1"/>
    <col min="2" max="3" width="8.85546875" style="13" customWidth="1"/>
    <col min="4" max="4" width="33.140625" style="14" customWidth="1"/>
    <col min="5" max="5" width="30.140625" style="14" bestFit="1" customWidth="1"/>
    <col min="6" max="8" width="20.85546875" style="13" customWidth="1"/>
    <col min="9" max="9" width="5" style="15" bestFit="1" customWidth="1"/>
    <col min="10" max="14" width="8.85546875" style="8"/>
    <col min="15" max="15" width="25.28515625" style="8" customWidth="1"/>
    <col min="16" max="16384" width="8.85546875" style="8"/>
  </cols>
  <sheetData>
    <row r="1" spans="1:16" s="2" customFormat="1" ht="30" x14ac:dyDescent="0.25">
      <c r="A1" s="1" t="s">
        <v>4</v>
      </c>
      <c r="B1" s="1" t="s">
        <v>5</v>
      </c>
      <c r="C1" s="1" t="s">
        <v>9</v>
      </c>
      <c r="D1" s="1" t="s">
        <v>0</v>
      </c>
      <c r="E1" s="1" t="s">
        <v>1</v>
      </c>
      <c r="F1" s="1" t="s">
        <v>6</v>
      </c>
      <c r="G1" s="1" t="s">
        <v>7</v>
      </c>
      <c r="H1" s="1" t="s">
        <v>8</v>
      </c>
      <c r="I1" s="1" t="s">
        <v>2</v>
      </c>
    </row>
    <row r="2" spans="1:16" x14ac:dyDescent="0.25">
      <c r="A2" s="3">
        <v>1</v>
      </c>
      <c r="B2" s="4" t="s">
        <v>11</v>
      </c>
      <c r="C2" s="4" t="s">
        <v>10</v>
      </c>
      <c r="D2" s="4" t="s">
        <v>14</v>
      </c>
      <c r="E2" s="5" t="s">
        <v>17</v>
      </c>
      <c r="F2" s="6">
        <v>200000</v>
      </c>
      <c r="G2" s="6">
        <f t="shared" ref="G2:G4" si="0">ROUND(0.04*F2,2)</f>
        <v>8000</v>
      </c>
      <c r="H2" s="6">
        <f t="shared" ref="H2:H4" si="1">F2-G2</f>
        <v>192000</v>
      </c>
      <c r="I2" s="7"/>
      <c r="P2" s="9"/>
    </row>
    <row r="3" spans="1:16" x14ac:dyDescent="0.25">
      <c r="A3" s="3">
        <v>2</v>
      </c>
      <c r="B3" s="4" t="s">
        <v>12</v>
      </c>
      <c r="C3" s="4" t="s">
        <v>10</v>
      </c>
      <c r="D3" s="4" t="s">
        <v>15</v>
      </c>
      <c r="E3" s="5" t="s">
        <v>18</v>
      </c>
      <c r="F3" s="6">
        <v>100000</v>
      </c>
      <c r="G3" s="6">
        <f t="shared" si="0"/>
        <v>4000</v>
      </c>
      <c r="H3" s="6">
        <f t="shared" si="1"/>
        <v>96000</v>
      </c>
      <c r="I3" s="7"/>
      <c r="P3" s="9"/>
    </row>
    <row r="4" spans="1:16" x14ac:dyDescent="0.25">
      <c r="A4" s="3">
        <v>3</v>
      </c>
      <c r="B4" s="4" t="s">
        <v>13</v>
      </c>
      <c r="C4" s="4" t="s">
        <v>10</v>
      </c>
      <c r="D4" s="4" t="s">
        <v>16</v>
      </c>
      <c r="E4" s="5" t="s">
        <v>19</v>
      </c>
      <c r="F4" s="6">
        <v>300000</v>
      </c>
      <c r="G4" s="6">
        <f t="shared" si="0"/>
        <v>12000</v>
      </c>
      <c r="H4" s="6">
        <f t="shared" si="1"/>
        <v>288000</v>
      </c>
      <c r="I4" s="7"/>
      <c r="P4" s="9"/>
    </row>
    <row r="5" spans="1:16" s="12" customFormat="1" x14ac:dyDescent="0.25">
      <c r="A5" s="16" t="s">
        <v>3</v>
      </c>
      <c r="B5" s="16"/>
      <c r="C5" s="16"/>
      <c r="D5" s="16"/>
      <c r="E5" s="16"/>
      <c r="F5" s="10">
        <f>SUM(F2:F4)</f>
        <v>600000</v>
      </c>
      <c r="G5" s="10">
        <f>SUM(G2:G4)</f>
        <v>24000</v>
      </c>
      <c r="H5" s="10">
        <f>SUM(H2:H4)</f>
        <v>576000</v>
      </c>
      <c r="I5" s="11"/>
    </row>
  </sheetData>
  <phoneticPr fontId="6" type="noConversion"/>
  <pageMargins left="0.25" right="0.25" top="0.75" bottom="0.75" header="0.3" footer="0.3"/>
  <pageSetup paperSize="8" scale="58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29FEADFC340DA40B2139D4BBB1A48D7" ma:contentTypeVersion="16" ma:contentTypeDescription="Creare un nuovo documento." ma:contentTypeScope="" ma:versionID="b0840281a23a489e96ccd504f4653ed1">
  <xsd:schema xmlns:xsd="http://www.w3.org/2001/XMLSchema" xmlns:xs="http://www.w3.org/2001/XMLSchema" xmlns:p="http://schemas.microsoft.com/office/2006/metadata/properties" xmlns:ns2="3b0d13af-778a-4999-a53a-9a4892815d2e" xmlns:ns3="b8e9ecd3-49dc-4355-a3de-944263e3bf65" targetNamespace="http://schemas.microsoft.com/office/2006/metadata/properties" ma:root="true" ma:fieldsID="ba8cc601415de5f1c807a3855b6d97e4" ns2:_="" ns3:_="">
    <xsd:import namespace="3b0d13af-778a-4999-a53a-9a4892815d2e"/>
    <xsd:import namespace="b8e9ecd3-49dc-4355-a3de-944263e3bf6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0d13af-778a-4999-a53a-9a4892815d2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1278c694-b333-43f2-be4d-295b15832b75}" ma:internalName="TaxCatchAll" ma:showField="CatchAllData" ma:web="3b0d13af-778a-4999-a53a-9a4892815d2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e9ecd3-49dc-4355-a3de-944263e3bf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Tag immagine" ma:readOnly="false" ma:fieldId="{5cf76f15-5ced-4ddc-b409-7134ff3c332f}" ma:taxonomyMulti="true" ma:sspId="5cef147c-0240-47bf-9996-b7454b3232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8e9ecd3-49dc-4355-a3de-944263e3bf65">
      <Terms xmlns="http://schemas.microsoft.com/office/infopath/2007/PartnerControls"/>
    </lcf76f155ced4ddcb4097134ff3c332f>
    <TaxCatchAll xmlns="3b0d13af-778a-4999-a53a-9a4892815d2e" xsi:nil="true"/>
  </documentManagement>
</p:properties>
</file>

<file path=customXml/itemProps1.xml><?xml version="1.0" encoding="utf-8"?>
<ds:datastoreItem xmlns:ds="http://schemas.openxmlformats.org/officeDocument/2006/customXml" ds:itemID="{B6BEC36D-8846-414F-BACE-2AF2A1863EF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5E5561D-085E-49E2-A527-A809DB6A22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b0d13af-778a-4999-a53a-9a4892815d2e"/>
    <ds:schemaRef ds:uri="b8e9ecd3-49dc-4355-a3de-944263e3bf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08A4D0B-D281-48E0-874D-283E49A618D8}">
  <ds:schemaRefs>
    <ds:schemaRef ds:uri="http://schemas.microsoft.com/office/2006/metadata/properties"/>
    <ds:schemaRef ds:uri="http://schemas.microsoft.com/office/infopath/2007/PartnerControls"/>
    <ds:schemaRef ds:uri="b8e9ecd3-49dc-4355-a3de-944263e3bf65"/>
    <ds:schemaRef ds:uri="3b0d13af-778a-4999-a53a-9a4892815d2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2</vt:i4>
      </vt:variant>
    </vt:vector>
  </HeadingPairs>
  <TitlesOfParts>
    <vt:vector size="3" baseType="lpstr">
      <vt:lpstr>Anno2023</vt:lpstr>
      <vt:lpstr>Anno2023!Area_stampa</vt:lpstr>
      <vt:lpstr>Anno2023!Titoli_stampa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Ulisse Fabiani</dc:creator>
  <cp:keywords/>
  <dc:description/>
  <cp:lastModifiedBy>Ulisse Fabiani</cp:lastModifiedBy>
  <cp:revision/>
  <dcterms:created xsi:type="dcterms:W3CDTF">2026-02-24T09:32:08Z</dcterms:created>
  <dcterms:modified xsi:type="dcterms:W3CDTF">2026-04-08T13:27:42Z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097a60d-5525-435b-8989-8eb48ac0c8cd_Enabled">
    <vt:lpwstr>true</vt:lpwstr>
  </property>
  <property fmtid="{D5CDD505-2E9C-101B-9397-08002B2CF9AE}" pid="3" name="MSIP_Label_5097a60d-5525-435b-8989-8eb48ac0c8cd_SetDate">
    <vt:lpwstr>2026-02-24T10:01:11Z</vt:lpwstr>
  </property>
  <property fmtid="{D5CDD505-2E9C-101B-9397-08002B2CF9AE}" pid="4" name="MSIP_Label_5097a60d-5525-435b-8989-8eb48ac0c8cd_Method">
    <vt:lpwstr>Standard</vt:lpwstr>
  </property>
  <property fmtid="{D5CDD505-2E9C-101B-9397-08002B2CF9AE}" pid="5" name="MSIP_Label_5097a60d-5525-435b-8989-8eb48ac0c8cd_Name">
    <vt:lpwstr>defa4170-0d19-0005-0004-bc88714345d2</vt:lpwstr>
  </property>
  <property fmtid="{D5CDD505-2E9C-101B-9397-08002B2CF9AE}" pid="6" name="MSIP_Label_5097a60d-5525-435b-8989-8eb48ac0c8cd_SiteId">
    <vt:lpwstr>3e90938b-8b27-4762-b4e8-006a8127a119</vt:lpwstr>
  </property>
  <property fmtid="{D5CDD505-2E9C-101B-9397-08002B2CF9AE}" pid="7" name="MSIP_Label_5097a60d-5525-435b-8989-8eb48ac0c8cd_ActionId">
    <vt:lpwstr>fe7ca67c-5343-4849-b877-ef3a23c443c0</vt:lpwstr>
  </property>
  <property fmtid="{D5CDD505-2E9C-101B-9397-08002B2CF9AE}" pid="8" name="MSIP_Label_5097a60d-5525-435b-8989-8eb48ac0c8cd_ContentBits">
    <vt:lpwstr>0</vt:lpwstr>
  </property>
  <property fmtid="{D5CDD505-2E9C-101B-9397-08002B2CF9AE}" pid="9" name="MSIP_Label_5097a60d-5525-435b-8989-8eb48ac0c8cd_Tag">
    <vt:lpwstr>10, 3, 0, 1</vt:lpwstr>
  </property>
  <property fmtid="{D5CDD505-2E9C-101B-9397-08002B2CF9AE}" pid="10" name="ContentTypeId">
    <vt:lpwstr>0x010100E29FEADFC340DA40B2139D4BBB1A48D7</vt:lpwstr>
  </property>
  <property fmtid="{D5CDD505-2E9C-101B-9397-08002B2CF9AE}" pid="11" name="MediaServiceImageTags">
    <vt:lpwstr/>
  </property>
</Properties>
</file>